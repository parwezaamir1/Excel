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amir\Documents\"/>
    </mc:Choice>
  </mc:AlternateContent>
  <xr:revisionPtr revIDLastSave="0" documentId="8_{A7E082B8-9655-4C96-AAC1-9AD1B251CC79}" xr6:coauthVersionLast="47" xr6:coauthVersionMax="47" xr10:uidLastSave="{00000000-0000-0000-0000-000000000000}"/>
  <bookViews>
    <workbookView xWindow="-110" yWindow="-110" windowWidth="19420" windowHeight="10300" xr2:uid="{F05F27B2-711B-4B1C-82A5-059B6832F2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8" i="1" l="1"/>
  <c r="H47" i="1"/>
  <c r="H46" i="1"/>
  <c r="H45" i="1"/>
  <c r="H44" i="1"/>
  <c r="H43" i="1"/>
  <c r="H42" i="1"/>
  <c r="H41" i="1"/>
  <c r="H40" i="1"/>
  <c r="H37" i="1"/>
  <c r="H36" i="1"/>
  <c r="F37" i="1"/>
  <c r="F36" i="1"/>
  <c r="H33" i="1"/>
  <c r="H32" i="1"/>
  <c r="H31" i="1"/>
  <c r="H30" i="1"/>
  <c r="H29" i="1"/>
  <c r="H28" i="1"/>
  <c r="H27" i="1"/>
  <c r="H26" i="1"/>
  <c r="H25" i="1"/>
  <c r="G16" i="1"/>
  <c r="G20" i="1" s="1"/>
  <c r="G17" i="1"/>
  <c r="G18" i="1"/>
  <c r="G19" i="1"/>
  <c r="H10" i="1"/>
  <c r="I10" i="1"/>
  <c r="J9" i="1" s="1"/>
  <c r="J7" i="1"/>
  <c r="H9" i="1"/>
  <c r="I9" i="1" s="1"/>
  <c r="H8" i="1"/>
  <c r="I8" i="1"/>
  <c r="I6" i="1"/>
  <c r="I7" i="1"/>
  <c r="I5" i="1"/>
  <c r="H6" i="1"/>
  <c r="H7" i="1"/>
  <c r="H5" i="1"/>
  <c r="J8" i="1" l="1"/>
  <c r="J5" i="1"/>
  <c r="J6" i="1"/>
  <c r="J10" i="1"/>
</calcChain>
</file>

<file path=xl/sharedStrings.xml><?xml version="1.0" encoding="utf-8"?>
<sst xmlns="http://schemas.openxmlformats.org/spreadsheetml/2006/main" count="74" uniqueCount="33">
  <si>
    <t>ID</t>
  </si>
  <si>
    <t>Stu_Name</t>
  </si>
  <si>
    <t>Phy</t>
  </si>
  <si>
    <t>Che</t>
  </si>
  <si>
    <t>Math</t>
  </si>
  <si>
    <t>Total</t>
  </si>
  <si>
    <t>Average</t>
  </si>
  <si>
    <t>Rank</t>
  </si>
  <si>
    <t>A</t>
  </si>
  <si>
    <t>B</t>
  </si>
  <si>
    <t>C</t>
  </si>
  <si>
    <t>D</t>
  </si>
  <si>
    <t>E</t>
  </si>
  <si>
    <t>WE</t>
  </si>
  <si>
    <t>S No</t>
  </si>
  <si>
    <t>Fruits</t>
  </si>
  <si>
    <t>Qty</t>
  </si>
  <si>
    <t xml:space="preserve">Price </t>
  </si>
  <si>
    <t>Total Amount</t>
  </si>
  <si>
    <t>Apple</t>
  </si>
  <si>
    <t>Ornages</t>
  </si>
  <si>
    <t>Grapes</t>
  </si>
  <si>
    <t xml:space="preserve">Banana </t>
  </si>
  <si>
    <t>Order_Id</t>
  </si>
  <si>
    <t>Item</t>
  </si>
  <si>
    <t>Company</t>
  </si>
  <si>
    <t>Price</t>
  </si>
  <si>
    <t>Mouse</t>
  </si>
  <si>
    <t>Keyboard</t>
  </si>
  <si>
    <t>Abc</t>
  </si>
  <si>
    <t>Xyz</t>
  </si>
  <si>
    <t>Amount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</si>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</sst>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&quot;kg &quot;"/>
    <numFmt numFmtId="167" formatCode="&quot;₹ &quot;#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2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6" fontId="0" fillId="0" borderId="1" xfId="0" applyNumberFormat="1" applyBorder="1"/>
    <xf numFmtId="167" fontId="0" fillId="0" borderId="1" xfId="0" applyNumberFormat="1" applyBorder="1"/>
    <xf numFmtId="166" fontId="0" fillId="0" borderId="8" xfId="0" applyNumberFormat="1" applyBorder="1"/>
    <xf numFmtId="167" fontId="0" fillId="0" borderId="8" xfId="0" applyNumberFormat="1" applyBorder="1"/>
    <xf numFmtId="0" fontId="0" fillId="0" borderId="9" xfId="0" applyNumberFormat="1" applyBorder="1"/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26">
    <dxf>
      <numFmt numFmtId="0" formatCode="General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67" formatCode="&quot;₹ &quot;#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&quot;₹ &quot;#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F552AD-FB95-4B31-BBF3-8011BD406CFD}" name="Table1" displayName="Table1" ref="C4:J10" totalsRowShown="0" headerRowDxfId="15" headerRowBorderDxfId="24" tableBorderDxfId="25" totalsRowBorderDxfId="23">
  <autoFilter ref="C4:J10" xr:uid="{2CF552AD-FB95-4B31-BBF3-8011BD406CFD}"/>
  <tableColumns count="8">
    <tableColumn id="1" xr3:uid="{F0AC98DF-7A0B-4A0E-B3B7-65CD6A5148CA}" name="ID" dataDxfId="22"/>
    <tableColumn id="2" xr3:uid="{24D5E3BD-7D00-4C0F-985B-7909795ABD6F}" name="Stu_Name" dataDxfId="21"/>
    <tableColumn id="3" xr3:uid="{B84D2E8B-EAF0-4D90-868A-5EA22ED989CD}" name="Phy" dataDxfId="20"/>
    <tableColumn id="4" xr3:uid="{A41F0B95-FD63-453B-AF3F-A92440663B36}" name="Che" dataDxfId="19"/>
    <tableColumn id="5" xr3:uid="{890FF9A3-7CA4-44B3-ABA8-599778022CAD}" name="Math" dataDxfId="18"/>
    <tableColumn id="6" xr3:uid="{FC194AF0-0CA1-4D28-B3DD-FD7E74B73A5C}" name="Total" dataDxfId="17">
      <calculatedColumnFormula>SUM(E5:G5)</calculatedColumnFormula>
    </tableColumn>
    <tableColumn id="7" xr3:uid="{4FBDFD4B-E91C-4572-80E4-2CE2A2D46B56}" name="Average" dataDxfId="16">
      <calculatedColumnFormula>AVERAGE(E5:H5)</calculatedColumnFormula>
    </tableColumn>
    <tableColumn id="8" xr3:uid="{3463C9E3-32A2-4614-95B9-BD0963D8E5D5}" name="Rank" dataDxfId="14">
      <calculatedColumnFormula>RANK(Table1[[#This Row],[Average]],Table1[Average],0)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598640-F053-433F-B554-9A3544AE1CC8}" name="Table2" displayName="Table2" ref="C15:G20" totalsRowCount="1" headerRowDxfId="5" headerRowBorderDxfId="12" tableBorderDxfId="13" totalsRowBorderDxfId="11">
  <autoFilter ref="C15:G19" xr:uid="{8A598640-F053-433F-B554-9A3544AE1CC8}"/>
  <tableColumns count="5">
    <tableColumn id="1" xr3:uid="{8CB58BB3-42B5-4FB9-B97A-37DAA12D216D}" name="S No" dataDxfId="10" totalsRowDxfId="4"/>
    <tableColumn id="2" xr3:uid="{501FA14F-53D9-4F6B-A41E-821D811A4018}" name="Fruits" dataDxfId="9" totalsRowDxfId="3"/>
    <tableColumn id="3" xr3:uid="{6D89FD7D-4856-427F-A172-BC45FCABB130}" name="Qty" dataDxfId="8" totalsRowDxfId="2"/>
    <tableColumn id="4" xr3:uid="{B729C097-27B1-41ED-9151-EA082A343270}" name="Price " dataDxfId="7" totalsRowDxfId="1"/>
    <tableColumn id="5" xr3:uid="{5D14B206-BAC1-4A15-9B70-ED283F63A29F}" name="Total Amount" totalsRowFunction="custom" dataDxfId="6" totalsRowDxfId="0">
      <calculatedColumnFormula>PRODUCT(Table2[[#This Row],[Qty]],Table2[[#This Row],[Price ]])</calculatedColumnFormula>
      <totalsRowFormula>SUM(Table2[Total Amount])</totalsRow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EF7EA0D-5120-423D-883D-05A73F091EEB}" name="Table4" displayName="Table4" ref="C24:H33" totalsRowShown="0">
  <autoFilter ref="C24:H33" xr:uid="{1EF7EA0D-5120-423D-883D-05A73F091EEB}"/>
  <tableColumns count="6">
    <tableColumn id="1" xr3:uid="{0DD9B3E3-A20E-455E-A9E0-147D83A3F3A2}" name="Order_Id"/>
    <tableColumn id="2" xr3:uid="{C1E7A3BA-3DFB-4089-A1CF-8CD3ECF3AA3A}" name="Item"/>
    <tableColumn id="3" xr3:uid="{243441A0-DEB8-4B5E-B001-5D842C31C5DE}" name="Company"/>
    <tableColumn id="4" xr3:uid="{5A16BC0C-8F16-48E8-9435-B8330BC0F067}" name="Qty"/>
    <tableColumn id="5" xr3:uid="{F9078497-8A53-4B81-940B-533935D5749E}" name="Price"/>
    <tableColumn id="6" xr3:uid="{1004CDEE-8528-4664-8340-661CB2256EDB}" name="Amount">
      <calculatedColumnFormula>PRODUCT(F25,G25)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5409B51-04BA-40E1-8651-AE7B96A719D2}" name="Table46" displayName="Table46" ref="C39:H48" totalsRowShown="0">
  <autoFilter ref="C39:H48" xr:uid="{E5409B51-04BA-40E1-8651-AE7B96A719D2}"/>
  <tableColumns count="6">
    <tableColumn id="1" xr3:uid="{66E6B3F7-279B-4F43-B09A-D33EF11A1F3C}" name="Order_Id"/>
    <tableColumn id="2" xr3:uid="{71E41F37-9B82-416D-A8C6-970A30A17DC3}" name="Item"/>
    <tableColumn id="3" xr3:uid="{13FED395-452D-41E3-A7E8-F34C4E9D917D}" name="Company"/>
    <tableColumn id="4" xr3:uid="{217DC4BC-9F69-4BD4-B4AF-3280A00F45AA}" name="Qty"/>
    <tableColumn id="5" xr3:uid="{21B63EEB-30F7-47B5-AAD5-C86999928F4A}" name="Price"/>
    <tableColumn id="6" xr3:uid="{6B37E709-5764-4A35-9250-F2C033DC042F}" name="Amount">
      <calculatedColumnFormula>PRODUCT(F40,G40)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23809-3B91-4A59-942A-579E6E3D6BC6}">
  <dimension ref="C4:J51"/>
  <sheetViews>
    <sheetView tabSelected="1" topLeftCell="A32" workbookViewId="0">
      <selection activeCell="D51" sqref="D51"/>
    </sheetView>
  </sheetViews>
  <sheetFormatPr defaultRowHeight="14.5" x14ac:dyDescent="0.35"/>
  <cols>
    <col min="3" max="3" width="10.36328125" customWidth="1"/>
    <col min="4" max="4" width="11.453125" customWidth="1"/>
    <col min="5" max="5" width="10.7265625" customWidth="1"/>
    <col min="7" max="7" width="14.36328125" customWidth="1"/>
    <col min="8" max="8" width="11.6328125" customWidth="1"/>
    <col min="9" max="9" width="9.54296875" customWidth="1"/>
  </cols>
  <sheetData>
    <row r="4" spans="3:10" x14ac:dyDescent="0.35">
      <c r="C4" s="2" t="s">
        <v>0</v>
      </c>
      <c r="D4" s="3" t="s">
        <v>1</v>
      </c>
      <c r="E4" s="3" t="s">
        <v>2</v>
      </c>
      <c r="F4" s="3" t="s">
        <v>3</v>
      </c>
      <c r="G4" s="3" t="s">
        <v>4</v>
      </c>
      <c r="H4" s="3" t="s">
        <v>5</v>
      </c>
      <c r="I4" s="3" t="s">
        <v>6</v>
      </c>
      <c r="J4" s="4" t="s">
        <v>7</v>
      </c>
    </row>
    <row r="5" spans="3:10" x14ac:dyDescent="0.35">
      <c r="C5" s="5">
        <v>1</v>
      </c>
      <c r="D5" s="6" t="s">
        <v>8</v>
      </c>
      <c r="E5" s="6">
        <v>23</v>
      </c>
      <c r="F5" s="6">
        <v>43</v>
      </c>
      <c r="G5" s="6">
        <v>45</v>
      </c>
      <c r="H5" s="6">
        <f>SUM(E5:G5)</f>
        <v>111</v>
      </c>
      <c r="I5" s="6">
        <f>AVERAGE(E5:H5)</f>
        <v>55.5</v>
      </c>
      <c r="J5" s="7">
        <f>RANK(Table1[[#This Row],[Average]],Table1[Average],0)</f>
        <v>3</v>
      </c>
    </row>
    <row r="6" spans="3:10" x14ac:dyDescent="0.35">
      <c r="C6" s="5">
        <v>2</v>
      </c>
      <c r="D6" s="6" t="s">
        <v>9</v>
      </c>
      <c r="E6" s="6">
        <v>45</v>
      </c>
      <c r="F6" s="6">
        <v>54</v>
      </c>
      <c r="G6" s="6">
        <v>34</v>
      </c>
      <c r="H6" s="6">
        <f t="shared" ref="H6:H7" si="0">SUM(E6:G6)</f>
        <v>133</v>
      </c>
      <c r="I6" s="6">
        <f t="shared" ref="I6:I7" si="1">AVERAGE(E6:H6)</f>
        <v>66.5</v>
      </c>
      <c r="J6" s="7">
        <f>RANK(Table1[[#This Row],[Average]],Table1[Average],0)</f>
        <v>1</v>
      </c>
    </row>
    <row r="7" spans="3:10" x14ac:dyDescent="0.35">
      <c r="C7" s="5">
        <v>3</v>
      </c>
      <c r="D7" s="6" t="s">
        <v>10</v>
      </c>
      <c r="E7" s="6">
        <v>54</v>
      </c>
      <c r="F7" s="6">
        <v>56</v>
      </c>
      <c r="G7" s="6">
        <v>5</v>
      </c>
      <c r="H7" s="6">
        <f t="shared" si="0"/>
        <v>115</v>
      </c>
      <c r="I7" s="6">
        <f t="shared" si="1"/>
        <v>57.5</v>
      </c>
      <c r="J7" s="7">
        <f>RANK(Table1[[#This Row],[Average]],Table1[Average],0)</f>
        <v>2</v>
      </c>
    </row>
    <row r="8" spans="3:10" x14ac:dyDescent="0.35">
      <c r="C8" s="5">
        <v>4</v>
      </c>
      <c r="D8" s="6" t="s">
        <v>11</v>
      </c>
      <c r="E8" s="6">
        <v>10</v>
      </c>
      <c r="F8" s="6">
        <v>10</v>
      </c>
      <c r="G8" s="6">
        <v>10</v>
      </c>
      <c r="H8" s="6">
        <f>SUM(E8:G8)</f>
        <v>30</v>
      </c>
      <c r="I8" s="6">
        <f>AVERAGE(E8:H8)</f>
        <v>15</v>
      </c>
      <c r="J8" s="7">
        <f>RANK(Table1[[#This Row],[Average]],Table1[Average],0)</f>
        <v>5</v>
      </c>
    </row>
    <row r="9" spans="3:10" x14ac:dyDescent="0.35">
      <c r="C9" s="8">
        <v>5</v>
      </c>
      <c r="D9" s="9" t="s">
        <v>12</v>
      </c>
      <c r="E9" s="9">
        <v>20</v>
      </c>
      <c r="F9" s="9">
        <v>20</v>
      </c>
      <c r="G9" s="9">
        <v>20</v>
      </c>
      <c r="H9" s="9">
        <f>SUM(E9:G9)</f>
        <v>60</v>
      </c>
      <c r="I9" s="9">
        <f>AVERAGE(E9:H9)</f>
        <v>30</v>
      </c>
      <c r="J9" s="7">
        <f>RANK(Table1[[#This Row],[Average]],Table1[Average],0)</f>
        <v>4</v>
      </c>
    </row>
    <row r="10" spans="3:10" x14ac:dyDescent="0.35">
      <c r="C10" s="8">
        <v>6</v>
      </c>
      <c r="D10" s="9" t="s">
        <v>13</v>
      </c>
      <c r="E10" s="9">
        <v>10</v>
      </c>
      <c r="F10" s="9">
        <v>10</v>
      </c>
      <c r="G10" s="9">
        <v>10</v>
      </c>
      <c r="H10" s="9">
        <f>SUM(E10:G10)</f>
        <v>30</v>
      </c>
      <c r="I10" s="9">
        <f>AVERAGE(E10:H10)</f>
        <v>15</v>
      </c>
      <c r="J10" s="10">
        <f>RANK(Table1[[#This Row],[Average]],Table1[Average],0)</f>
        <v>5</v>
      </c>
    </row>
    <row r="15" spans="3:10" x14ac:dyDescent="0.35">
      <c r="C15" s="2" t="s">
        <v>14</v>
      </c>
      <c r="D15" s="3" t="s">
        <v>15</v>
      </c>
      <c r="E15" s="3" t="s">
        <v>16</v>
      </c>
      <c r="F15" s="3" t="s">
        <v>17</v>
      </c>
      <c r="G15" s="4" t="s">
        <v>18</v>
      </c>
    </row>
    <row r="16" spans="3:10" x14ac:dyDescent="0.35">
      <c r="C16" s="5">
        <v>100</v>
      </c>
      <c r="D16" s="6" t="s">
        <v>19</v>
      </c>
      <c r="E16" s="11">
        <v>10</v>
      </c>
      <c r="F16" s="12">
        <v>100</v>
      </c>
      <c r="G16" s="7">
        <f>PRODUCT(Table2[[#This Row],[Qty]],Table2[[#This Row],[Price ]])</f>
        <v>1000</v>
      </c>
    </row>
    <row r="17" spans="3:8" x14ac:dyDescent="0.35">
      <c r="C17" s="5">
        <v>101</v>
      </c>
      <c r="D17" s="6" t="s">
        <v>20</v>
      </c>
      <c r="E17" s="11">
        <v>12</v>
      </c>
      <c r="F17" s="12">
        <v>70</v>
      </c>
      <c r="G17" s="7">
        <f>PRODUCT(Table2[[#This Row],[Qty]],Table2[[#This Row],[Price ]])</f>
        <v>840</v>
      </c>
    </row>
    <row r="18" spans="3:8" x14ac:dyDescent="0.35">
      <c r="C18" s="5">
        <v>102</v>
      </c>
      <c r="D18" s="6" t="s">
        <v>21</v>
      </c>
      <c r="E18" s="11">
        <v>20</v>
      </c>
      <c r="F18" s="12">
        <v>120</v>
      </c>
      <c r="G18" s="7">
        <f>PRODUCT(Table2[[#This Row],[Qty]],Table2[[#This Row],[Price ]])</f>
        <v>2400</v>
      </c>
    </row>
    <row r="19" spans="3:8" x14ac:dyDescent="0.35">
      <c r="C19" s="8">
        <v>103</v>
      </c>
      <c r="D19" s="9" t="s">
        <v>22</v>
      </c>
      <c r="E19" s="13">
        <v>10</v>
      </c>
      <c r="F19" s="14">
        <v>60</v>
      </c>
      <c r="G19" s="10">
        <f>PRODUCT(Table2[[#This Row],[Qty]],Table2[[#This Row],[Price ]])</f>
        <v>600</v>
      </c>
    </row>
    <row r="20" spans="3:8" x14ac:dyDescent="0.35">
      <c r="C20" s="8"/>
      <c r="D20" s="9"/>
      <c r="E20" s="9"/>
      <c r="F20" s="14"/>
      <c r="G20" s="15">
        <f>SUM(Table2[Total Amount])</f>
        <v>4840</v>
      </c>
    </row>
    <row r="24" spans="3:8" x14ac:dyDescent="0.35">
      <c r="C24" t="s">
        <v>23</v>
      </c>
      <c r="D24" t="s">
        <v>24</v>
      </c>
      <c r="E24" t="s">
        <v>25</v>
      </c>
      <c r="F24" t="s">
        <v>16</v>
      </c>
      <c r="G24" t="s">
        <v>26</v>
      </c>
      <c r="H24" t="s">
        <v>31</v>
      </c>
    </row>
    <row r="25" spans="3:8" x14ac:dyDescent="0.35">
      <c r="C25">
        <v>1</v>
      </c>
      <c r="D25" t="s">
        <v>27</v>
      </c>
      <c r="E25" t="s">
        <v>29</v>
      </c>
      <c r="F25">
        <v>10</v>
      </c>
      <c r="G25">
        <v>120</v>
      </c>
      <c r="H25">
        <f>PRODUCT(F25,G25)</f>
        <v>1200</v>
      </c>
    </row>
    <row r="26" spans="3:8" x14ac:dyDescent="0.35">
      <c r="C26">
        <v>2</v>
      </c>
      <c r="D26" t="s">
        <v>28</v>
      </c>
      <c r="E26" t="s">
        <v>30</v>
      </c>
      <c r="F26">
        <v>20</v>
      </c>
      <c r="G26">
        <v>210</v>
      </c>
      <c r="H26">
        <f>PRODUCT(F26,G26)</f>
        <v>4200</v>
      </c>
    </row>
    <row r="27" spans="3:8" x14ac:dyDescent="0.35">
      <c r="C27">
        <v>3</v>
      </c>
      <c r="D27" t="s">
        <v>27</v>
      </c>
      <c r="E27" t="s">
        <v>30</v>
      </c>
      <c r="F27">
        <v>10</v>
      </c>
      <c r="G27">
        <v>140</v>
      </c>
      <c r="H27">
        <f>PRODUCT(F27,G27)</f>
        <v>1400</v>
      </c>
    </row>
    <row r="28" spans="3:8" x14ac:dyDescent="0.35">
      <c r="C28">
        <v>4</v>
      </c>
      <c r="D28" t="s">
        <v>28</v>
      </c>
      <c r="E28" t="s">
        <v>29</v>
      </c>
      <c r="F28">
        <v>14</v>
      </c>
      <c r="G28">
        <v>190</v>
      </c>
      <c r="H28">
        <f>PRODUCT(F28,G28)</f>
        <v>2660</v>
      </c>
    </row>
    <row r="29" spans="3:8" x14ac:dyDescent="0.35">
      <c r="C29">
        <v>5</v>
      </c>
      <c r="D29" t="s">
        <v>27</v>
      </c>
      <c r="E29" t="s">
        <v>29</v>
      </c>
      <c r="F29">
        <v>25</v>
      </c>
      <c r="G29">
        <v>220</v>
      </c>
      <c r="H29">
        <f>PRODUCT(F29,G29)</f>
        <v>5500</v>
      </c>
    </row>
    <row r="30" spans="3:8" x14ac:dyDescent="0.35">
      <c r="C30">
        <v>6</v>
      </c>
      <c r="D30" t="s">
        <v>28</v>
      </c>
      <c r="E30" t="s">
        <v>30</v>
      </c>
      <c r="F30">
        <v>10</v>
      </c>
      <c r="G30">
        <v>230</v>
      </c>
      <c r="H30">
        <f>PRODUCT(F30,G30)</f>
        <v>2300</v>
      </c>
    </row>
    <row r="31" spans="3:8" x14ac:dyDescent="0.35">
      <c r="C31">
        <v>7</v>
      </c>
      <c r="D31" t="s">
        <v>27</v>
      </c>
      <c r="E31" t="s">
        <v>30</v>
      </c>
      <c r="F31">
        <v>10</v>
      </c>
      <c r="G31">
        <v>180</v>
      </c>
      <c r="H31">
        <f>PRODUCT(F31,G31)</f>
        <v>1800</v>
      </c>
    </row>
    <row r="32" spans="3:8" x14ac:dyDescent="0.35">
      <c r="C32">
        <v>8</v>
      </c>
      <c r="D32" t="s">
        <v>27</v>
      </c>
      <c r="E32" t="s">
        <v>29</v>
      </c>
      <c r="F32">
        <v>11</v>
      </c>
      <c r="G32">
        <v>170</v>
      </c>
      <c r="H32">
        <f>PRODUCT(F32,G32)</f>
        <v>1870</v>
      </c>
    </row>
    <row r="33" spans="3:8" x14ac:dyDescent="0.35">
      <c r="C33">
        <v>9</v>
      </c>
      <c r="D33" t="s">
        <v>28</v>
      </c>
      <c r="E33" t="s">
        <v>30</v>
      </c>
      <c r="F33">
        <v>21</v>
      </c>
      <c r="G33">
        <v>150</v>
      </c>
      <c r="H33">
        <f>PRODUCT(F33,G33)</f>
        <v>3150</v>
      </c>
    </row>
    <row r="36" spans="3:8" x14ac:dyDescent="0.35">
      <c r="D36" s="17" t="s">
        <v>5</v>
      </c>
      <c r="E36" s="16"/>
      <c r="F36">
        <f>SUBTOTAL(9,Table4[Qty])</f>
        <v>131</v>
      </c>
      <c r="H36">
        <f>SUBTOTAL(9,Table4[Amount])</f>
        <v>24080</v>
      </c>
    </row>
    <row r="37" spans="3:8" x14ac:dyDescent="0.35">
      <c r="D37" s="18" t="s">
        <v>6</v>
      </c>
      <c r="E37" s="19"/>
      <c r="F37" s="1">
        <f>SUBTOTAL(101,Table4[Qty])</f>
        <v>14.555555555555555</v>
      </c>
      <c r="H37" s="1">
        <f>SUBTOTAL(101,Table4[Amount])</f>
        <v>2675.5555555555557</v>
      </c>
    </row>
    <row r="39" spans="3:8" x14ac:dyDescent="0.35">
      <c r="C39" t="s">
        <v>23</v>
      </c>
      <c r="D39" t="s">
        <v>24</v>
      </c>
      <c r="E39" t="s">
        <v>25</v>
      </c>
      <c r="F39" t="s">
        <v>16</v>
      </c>
      <c r="G39" t="s">
        <v>26</v>
      </c>
      <c r="H39" t="s">
        <v>31</v>
      </c>
    </row>
    <row r="40" spans="3:8" x14ac:dyDescent="0.35">
      <c r="C40">
        <v>1</v>
      </c>
      <c r="D40" t="s">
        <v>27</v>
      </c>
      <c r="E40" t="s">
        <v>29</v>
      </c>
      <c r="F40">
        <v>10</v>
      </c>
      <c r="G40">
        <v>120</v>
      </c>
      <c r="H40">
        <f>PRODUCT(F40,G40)</f>
        <v>1200</v>
      </c>
    </row>
    <row r="41" spans="3:8" x14ac:dyDescent="0.35">
      <c r="C41">
        <v>2</v>
      </c>
      <c r="D41" t="s">
        <v>28</v>
      </c>
      <c r="E41" t="s">
        <v>30</v>
      </c>
      <c r="F41">
        <v>20</v>
      </c>
      <c r="G41">
        <v>210</v>
      </c>
      <c r="H41">
        <f>PRODUCT(F41,G41)</f>
        <v>4200</v>
      </c>
    </row>
    <row r="42" spans="3:8" x14ac:dyDescent="0.35">
      <c r="C42">
        <v>3</v>
      </c>
      <c r="D42" t="s">
        <v>27</v>
      </c>
      <c r="E42" t="s">
        <v>30</v>
      </c>
      <c r="F42">
        <v>10</v>
      </c>
      <c r="G42">
        <v>140</v>
      </c>
      <c r="H42">
        <f>PRODUCT(F42,G42)</f>
        <v>1400</v>
      </c>
    </row>
    <row r="43" spans="3:8" x14ac:dyDescent="0.35">
      <c r="C43">
        <v>4</v>
      </c>
      <c r="D43" t="s">
        <v>28</v>
      </c>
      <c r="E43" t="s">
        <v>29</v>
      </c>
      <c r="F43">
        <v>14</v>
      </c>
      <c r="G43">
        <v>190</v>
      </c>
      <c r="H43">
        <f>PRODUCT(F43,G43)</f>
        <v>2660</v>
      </c>
    </row>
    <row r="44" spans="3:8" x14ac:dyDescent="0.35">
      <c r="C44">
        <v>5</v>
      </c>
      <c r="D44" t="s">
        <v>27</v>
      </c>
      <c r="E44" t="s">
        <v>29</v>
      </c>
      <c r="F44">
        <v>25</v>
      </c>
      <c r="G44">
        <v>220</v>
      </c>
      <c r="H44">
        <f>PRODUCT(F44,G44)</f>
        <v>5500</v>
      </c>
    </row>
    <row r="45" spans="3:8" x14ac:dyDescent="0.35">
      <c r="C45">
        <v>6</v>
      </c>
      <c r="D45" t="s">
        <v>28</v>
      </c>
      <c r="E45" t="s">
        <v>30</v>
      </c>
      <c r="F45">
        <v>10</v>
      </c>
      <c r="G45">
        <v>230</v>
      </c>
      <c r="H45">
        <f>PRODUCT(F45,G45)</f>
        <v>2300</v>
      </c>
    </row>
    <row r="46" spans="3:8" x14ac:dyDescent="0.35">
      <c r="C46">
        <v>7</v>
      </c>
      <c r="D46" t="s">
        <v>27</v>
      </c>
      <c r="E46" t="s">
        <v>30</v>
      </c>
      <c r="F46">
        <v>10</v>
      </c>
      <c r="G46">
        <v>180</v>
      </c>
      <c r="H46">
        <f>PRODUCT(F46,G46)</f>
        <v>1800</v>
      </c>
    </row>
    <row r="47" spans="3:8" x14ac:dyDescent="0.35">
      <c r="C47">
        <v>8</v>
      </c>
      <c r="D47" t="s">
        <v>27</v>
      </c>
      <c r="E47" t="s">
        <v>29</v>
      </c>
      <c r="F47">
        <v>11</v>
      </c>
      <c r="G47">
        <v>170</v>
      </c>
      <c r="H47">
        <f>PRODUCT(F47,G47)</f>
        <v>1870</v>
      </c>
    </row>
    <row r="48" spans="3:8" x14ac:dyDescent="0.35">
      <c r="C48">
        <v>9</v>
      </c>
      <c r="D48" t="s">
        <v>28</v>
      </c>
      <c r="E48" t="s">
        <v>30</v>
      </c>
      <c r="F48">
        <v>21</v>
      </c>
      <c r="G48">
        <v>150</v>
      </c>
      <c r="H48">
        <f>PRODUCT(F48,G48)</f>
        <v>3150</v>
      </c>
    </row>
    <row r="51" spans="4:4" x14ac:dyDescent="0.35">
      <c r="D51" t="s">
        <v>32</v>
      </c>
    </row>
  </sheetData>
  <mergeCells count="2">
    <mergeCell ref="D36:E36"/>
    <mergeCell ref="D37:E37"/>
  </mergeCells>
  <pageMargins left="0.7" right="0.7" top="0.75" bottom="0.75" header="0.3" footer="0.3"/>
  <pageSetup paperSize="9" orientation="portrait" verticalDpi="0"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Aamir, Parwez</dc:creator>
  <cp:lastModifiedBy>Aamir, Parwez</cp:lastModifiedBy>
  <dcterms:created xsi:type="dcterms:W3CDTF">2023-04-16T09:47:12Z</dcterms:created>
  <dcterms:modified xsi:type="dcterms:W3CDTF">2023-04-17T13:10:39Z</dcterms:modified>
</cp:coreProperties>
</file>